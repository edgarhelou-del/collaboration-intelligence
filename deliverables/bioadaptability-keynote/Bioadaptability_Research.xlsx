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Database" sheetId="1" state="visible" r:id="rId1"/>
    <sheet name="Scoring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6" customWidth="1" min="3" max="3"/>
    <col width="26" customWidth="1" min="4" max="4"/>
    <col width="12" customWidth="1" min="5" max="5"/>
    <col width="34" customWidth="1" min="6" max="6"/>
    <col width="46" customWidth="1" min="7" max="7"/>
    <col width="10" customWidth="1" min="8" max="8"/>
    <col width="9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9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Idea / Principle</t>
        </is>
      </c>
      <c r="D1" s="1" t="inlineStr">
        <is>
          <t>Author(s) / Source</t>
        </is>
      </c>
      <c r="E1" s="1" t="inlineStr">
        <is>
          <t>Year</t>
        </is>
      </c>
      <c r="F1" s="1" t="inlineStr">
        <is>
          <t>URL</t>
        </is>
      </c>
      <c r="G1" s="1" t="inlineStr">
        <is>
          <t>Evidence Summary</t>
        </is>
      </c>
      <c r="H1" s="1" t="inlineStr">
        <is>
          <t>Intellectual Power (1-10)</t>
        </is>
      </c>
      <c r="I1" s="1" t="inlineStr">
        <is>
          <t>Evidence (1-10)</t>
        </is>
      </c>
      <c r="J1" s="1" t="inlineStr">
        <is>
          <t>Corporate Relevance (1-10)</t>
        </is>
      </c>
      <c r="K1" s="1" t="inlineStr">
        <is>
          <t>Originality (1-10)</t>
        </is>
      </c>
      <c r="L1" s="1" t="inlineStr">
        <is>
          <t>Story Potential (1-10)</t>
        </is>
      </c>
      <c r="M1" s="1" t="inlineStr">
        <is>
          <t>Visual Potential (1-10)</t>
        </is>
      </c>
      <c r="N1" s="1" t="inlineStr">
        <is>
          <t>Emotional Potential (1-10)</t>
        </is>
      </c>
      <c r="O1" s="1" t="inlineStr">
        <is>
          <t>Average Score</t>
        </is>
      </c>
      <c r="P1" s="1" t="inlineStr">
        <is>
          <t>Utilization in Keynote</t>
        </is>
      </c>
    </row>
    <row r="2" ht="60" customHeight="1">
      <c r="A2" s="2" t="inlineStr">
        <is>
          <t>R01</t>
        </is>
      </c>
      <c r="B2" s="2" t="inlineStr">
        <is>
          <t>Biology / Complexity</t>
        </is>
      </c>
      <c r="C2" s="2" t="inlineStr">
        <is>
          <t>Scale-free correlation in starling murmurations: a directional change at one edge of a flock of thousands reaches the far edge in under a second, with no leader initiating it.</t>
        </is>
      </c>
      <c r="D2" s="2" t="inlineStr">
        <is>
          <t>Cavagna, A. et al.</t>
        </is>
      </c>
      <c r="E2" s="2" t="inlineStr">
        <is>
          <t>2010</t>
        </is>
      </c>
      <c r="F2" s="2" t="inlineStr">
        <is>
          <t>https://www.pnas.org/doi/10.1073/pnas.1005766107</t>
        </is>
      </c>
      <c r="G2" s="2" t="inlineStr">
        <is>
          <t>PNAS study; flocks of ~1,500-4,000 starlings; correlation length scales with flock size rather than staying constant (scale-free), unusual in biological systems.</t>
        </is>
      </c>
      <c r="H2" s="2" t="n">
        <v>9</v>
      </c>
      <c r="I2" s="2" t="n">
        <v>9</v>
      </c>
      <c r="J2" s="2" t="n">
        <v>7</v>
      </c>
      <c r="K2" s="2" t="n">
        <v>8</v>
      </c>
      <c r="L2" s="2" t="n">
        <v>7</v>
      </c>
      <c r="M2" s="2" t="n">
        <v>10</v>
      </c>
      <c r="N2" s="2" t="n">
        <v>7</v>
      </c>
      <c r="O2" s="3">
        <f>AVERAGE(H2:N2)</f>
        <v/>
      </c>
      <c r="P2" s="2" t="inlineStr">
        <is>
          <t>WOW #2 - Act III - Slide 9</t>
        </is>
      </c>
    </row>
    <row r="3" ht="60" customHeight="1">
      <c r="A3" s="2" t="inlineStr">
        <is>
          <t>R02</t>
        </is>
      </c>
      <c r="B3" s="2" t="inlineStr">
        <is>
          <t>Biology</t>
        </is>
      </c>
      <c r="C3" s="2" t="inlineStr">
        <is>
          <t>Mycorrhizal 'mother tree' networks: large hub trees connect to seedlings and neighboring trees through fungal networks, sharing carbon, water, and chemical warning signals.</t>
        </is>
      </c>
      <c r="D3" s="2" t="inlineStr">
        <is>
          <t>Simard, S. (UBC, Mother Tree Project)</t>
        </is>
      </c>
      <c r="E3" s="2" t="inlineStr">
        <is>
          <t>1997-ongoing</t>
        </is>
      </c>
      <c r="F3" s="2" t="inlineStr">
        <is>
          <t>https://mothertreeproject.org/about-mother-trees/</t>
        </is>
      </c>
      <c r="G3" s="2" t="inlineStr">
        <is>
          <t>Long-term field research in Canadian forests; some specific claims (esp. cross-species nutrient transfer) are contested by other plant scientists - flag as INTERPRETATION where contested.</t>
        </is>
      </c>
      <c r="H3" s="2" t="n">
        <v>9</v>
      </c>
      <c r="I3" s="2" t="n">
        <v>6</v>
      </c>
      <c r="J3" s="2" t="n">
        <v>7</v>
      </c>
      <c r="K3" s="2" t="n">
        <v>8</v>
      </c>
      <c r="L3" s="2" t="n">
        <v>9</v>
      </c>
      <c r="M3" s="2" t="n">
        <v>9</v>
      </c>
      <c r="N3" s="2" t="n">
        <v>8</v>
      </c>
      <c r="O3" s="3">
        <f>AVERAGE(H3:N3)</f>
        <v/>
      </c>
      <c r="P3" s="2" t="inlineStr">
        <is>
          <t>Act III - Slide 10 - memorable line 3</t>
        </is>
      </c>
    </row>
    <row r="4" ht="60" customHeight="1">
      <c r="A4" s="2" t="inlineStr">
        <is>
          <t>R03</t>
        </is>
      </c>
      <c r="B4" s="2" t="inlineStr">
        <is>
          <t>Biology / Complexity</t>
        </is>
      </c>
      <c r="C4" s="2" t="inlineStr">
        <is>
          <t>Physarum polycephalum (slime mold) recreated an efficient approximation of the Tokyo rail network from scattered food sources, with no brain and no central plan - via local reinforcement (stigmergy).</t>
        </is>
      </c>
      <c r="D4" s="2" t="inlineStr">
        <is>
          <t>Tero, A., Takagaki, S., Nakagaki, T. et al.</t>
        </is>
      </c>
      <c r="E4" s="2" t="inlineStr">
        <is>
          <t>2010</t>
        </is>
      </c>
      <c r="F4" s="2" t="inlineStr">
        <is>
          <t>https://www.sciencedaily.com/releases/2010/01/100121141051.htm</t>
        </is>
      </c>
      <c r="G4" s="2" t="inlineStr">
        <is>
          <t>Published in Science; petri-dish experiment mapping Greater Tokyo; network efficiency, fault tolerance and cost compared favorably to the real rail system.</t>
        </is>
      </c>
      <c r="H4" s="2" t="n">
        <v>9</v>
      </c>
      <c r="I4" s="2" t="n">
        <v>9</v>
      </c>
      <c r="J4" s="2" t="n">
        <v>8</v>
      </c>
      <c r="K4" s="2" t="n">
        <v>9</v>
      </c>
      <c r="L4" s="2" t="n">
        <v>7</v>
      </c>
      <c r="M4" s="2" t="n">
        <v>8</v>
      </c>
      <c r="N4" s="2" t="n">
        <v>6</v>
      </c>
      <c r="O4" s="3">
        <f>AVERAGE(H4:N4)</f>
        <v/>
      </c>
      <c r="P4" s="2" t="inlineStr">
        <is>
          <t>WOW #3 - Act III - Slide 11</t>
        </is>
      </c>
    </row>
    <row r="5" ht="60" customHeight="1">
      <c r="A5" s="2" t="inlineStr">
        <is>
          <t>R04</t>
        </is>
      </c>
      <c r="B5" s="2" t="inlineStr">
        <is>
          <t>Biology / Complexity</t>
        </is>
      </c>
      <c r="C5" s="2" t="inlineStr">
        <is>
          <t>Stigmergy: ants solve shortest-path foraging problems purely through pheromone-trail reinforcement - indirect coordination through the environment, not direct communication.</t>
        </is>
      </c>
      <c r="D5" s="2" t="inlineStr">
        <is>
          <t>Grasse, P-P. (1959 origin); Deneubourg, J-L. et al.</t>
        </is>
      </c>
      <c r="E5" s="2" t="inlineStr">
        <is>
          <t>1959 / 1990s</t>
        </is>
      </c>
      <c r="F5" s="2" t="inlineStr">
        <is>
          <t>https://en.wikipedia.org/wiki/Stigmergy</t>
        </is>
      </c>
      <c r="G5" s="2" t="inlineStr">
        <is>
          <t>Classic entomology + swarm-robotics literature; double-bridge foraging experiments repeatedly confirm shortest-path selection via reinforcement.</t>
        </is>
      </c>
      <c r="H5" s="2" t="n">
        <v>7</v>
      </c>
      <c r="I5" s="2" t="n">
        <v>8</v>
      </c>
      <c r="J5" s="2" t="n">
        <v>7</v>
      </c>
      <c r="K5" s="2" t="n">
        <v>6</v>
      </c>
      <c r="L5" s="2" t="n">
        <v>6</v>
      </c>
      <c r="M5" s="2" t="n">
        <v>7</v>
      </c>
      <c r="N5" s="2" t="n">
        <v>4</v>
      </c>
      <c r="O5" s="3">
        <f>AVERAGE(H5:N5)</f>
        <v/>
      </c>
      <c r="P5" s="2" t="inlineStr">
        <is>
          <t>Act III - Slide 11 pairing with slime mold</t>
        </is>
      </c>
    </row>
    <row r="6" ht="60" customHeight="1">
      <c r="A6" s="2" t="inlineStr">
        <is>
          <t>R05</t>
        </is>
      </c>
      <c r="B6" s="2" t="inlineStr">
        <is>
          <t>Biology / Immunology</t>
        </is>
      </c>
      <c r="C6" s="2" t="inlineStr">
        <is>
          <t>'Trained immunity': the innate immune system - assumed purely reflexive - also learns from past exposure, encoded via chromatin and metabolic reprogramming rather than genetic recombination.</t>
        </is>
      </c>
      <c r="D6" s="2" t="inlineStr">
        <is>
          <t>Netea, M.G. et al.; review in Cell Host &amp; Microbe</t>
        </is>
      </c>
      <c r="E6" s="2" t="inlineStr">
        <is>
          <t>2011-2018</t>
        </is>
      </c>
      <c r="F6" s="2" t="inlineStr">
        <is>
          <t>https://www.cell.com/cell-host-microbe/fulltext/S1931-3128(18)30633-4</t>
        </is>
      </c>
      <c r="G6" s="2" t="inlineStr">
        <is>
          <t>Peer-reviewed immunology; reframes the innate/adaptive divide - adaptability is not confined to the 'slow, deliberate' system.</t>
        </is>
      </c>
      <c r="H6" s="2" t="n">
        <v>9</v>
      </c>
      <c r="I6" s="2" t="n">
        <v>8</v>
      </c>
      <c r="J6" s="2" t="n">
        <v>6</v>
      </c>
      <c r="K6" s="2" t="n">
        <v>9</v>
      </c>
      <c r="L6" s="2" t="n">
        <v>5</v>
      </c>
      <c r="M6" s="2" t="n">
        <v>6</v>
      </c>
      <c r="N6" s="2" t="n">
        <v>5</v>
      </c>
      <c r="O6" s="3">
        <f>AVERAGE(H6:N6)</f>
        <v/>
      </c>
      <c r="P6" s="2" t="inlineStr">
        <is>
          <t>WOW #5 - Act III - Slide 12</t>
        </is>
      </c>
    </row>
    <row r="7" ht="60" customHeight="1">
      <c r="A7" s="2" t="inlineStr">
        <is>
          <t>R06</t>
        </is>
      </c>
      <c r="B7" s="2" t="inlineStr">
        <is>
          <t>Sociology / Psychology</t>
        </is>
      </c>
      <c r="C7" s="2" t="inlineStr">
        <is>
          <t>Collective intelligence factor 'c': a measurable group-level intelligence that predicts group performance across many tasks; correlates with average social sensitivity and equality of speaking turns, not average or maximum individual IQ.</t>
        </is>
      </c>
      <c r="D7" s="2" t="inlineStr">
        <is>
          <t>Woolley, A.W., Chabris, C.F., Pentland, A., Hashmi, N., Malone, T.W.</t>
        </is>
      </c>
      <c r="E7" s="2" t="inlineStr">
        <is>
          <t>2010</t>
        </is>
      </c>
      <c r="F7" s="2" t="inlineStr">
        <is>
          <t>https://www.science.org/doi/10.1126/science.1193147</t>
        </is>
      </c>
      <c r="G7" s="2" t="inlineStr">
        <is>
          <t>Science; two studies, 699 participants in 2-5 person groups; c-factor explained 43% of variance in group task performance.</t>
        </is>
      </c>
      <c r="H7" s="2" t="n">
        <v>9</v>
      </c>
      <c r="I7" s="2" t="n">
        <v>9</v>
      </c>
      <c r="J7" s="2" t="n">
        <v>9</v>
      </c>
      <c r="K7" s="2" t="n">
        <v>8</v>
      </c>
      <c r="L7" s="2" t="n">
        <v>8</v>
      </c>
      <c r="M7" s="2" t="n">
        <v>7</v>
      </c>
      <c r="N7" s="2" t="n">
        <v>6</v>
      </c>
      <c r="O7" s="3">
        <f>AVERAGE(H7:N7)</f>
        <v/>
      </c>
      <c r="P7" s="2" t="inlineStr">
        <is>
          <t>WOW #1 - Act V - Slide 18</t>
        </is>
      </c>
    </row>
    <row r="8" ht="60" customHeight="1">
      <c r="A8" s="2" t="inlineStr">
        <is>
          <t>R07</t>
        </is>
      </c>
      <c r="B8" s="2" t="inlineStr">
        <is>
          <t>Management / Psychology</t>
        </is>
      </c>
      <c r="C8" s="2" t="inlineStr">
        <is>
          <t>Psychological safety - a shared belief that a team is safe for interpersonal risk-taking - was the strongest predictor of team effectiveness among 180 Google teams studied over two years.</t>
        </is>
      </c>
      <c r="D8" s="2" t="inlineStr">
        <is>
          <t>Edmondson, A. (1999 foundational paper); Google 'Project Aristotle' (2012-2015)</t>
        </is>
      </c>
      <c r="E8" s="2" t="inlineStr">
        <is>
          <t>1999 / 2015</t>
        </is>
      </c>
      <c r="F8" s="2" t="inlineStr">
        <is>
          <t>https://psychsafety.com/googles-project-aristotle/</t>
        </is>
      </c>
      <c r="G8" s="2" t="inlineStr">
        <is>
          <t>Combination of academic research (Edmondson, HBS) and Google's internal People Analytics study; widely replicated in later organizational research.</t>
        </is>
      </c>
      <c r="H8" s="2" t="n">
        <v>8</v>
      </c>
      <c r="I8" s="2" t="n">
        <v>8</v>
      </c>
      <c r="J8" s="2" t="n">
        <v>10</v>
      </c>
      <c r="K8" s="2" t="n">
        <v>5</v>
      </c>
      <c r="L8" s="2" t="n">
        <v>6</v>
      </c>
      <c r="M8" s="2" t="n">
        <v>4</v>
      </c>
      <c r="N8" s="2" t="n">
        <v>5</v>
      </c>
      <c r="O8" s="3">
        <f>AVERAGE(H8:N8)</f>
        <v/>
      </c>
      <c r="P8" s="2" t="inlineStr">
        <is>
          <t>Act V background - psychological safety thread</t>
        </is>
      </c>
    </row>
    <row r="9" ht="60" customHeight="1">
      <c r="A9" s="2" t="inlineStr">
        <is>
          <t>R08</t>
        </is>
      </c>
      <c r="B9" s="2" t="inlineStr">
        <is>
          <t>Sociology / Psychology</t>
        </is>
      </c>
      <c r="C9" s="2" t="inlineStr">
        <is>
          <t>Groupthink: tightly-knit, high-pressure, high-status groups can silence dissent and converge prematurely on bad decisions - regardless of the individual intelligence of members.</t>
        </is>
      </c>
      <c r="D9" s="2" t="inlineStr">
        <is>
          <t>Janis, I. (analysis of the 1961 Bay of Pigs decision)</t>
        </is>
      </c>
      <c r="E9" s="2" t="inlineStr">
        <is>
          <t>1972</t>
        </is>
      </c>
      <c r="F9" s="2" t="inlineStr">
        <is>
          <t>https://www.britannica.com/science/groupthink</t>
        </is>
      </c>
      <c r="G9" s="2" t="inlineStr">
        <is>
          <t>Case-study analysis of declassified US decision-making process; became foundational in social psychology and policy studies.</t>
        </is>
      </c>
      <c r="H9" s="2" t="n">
        <v>8</v>
      </c>
      <c r="I9" s="2" t="n">
        <v>8</v>
      </c>
      <c r="J9" s="2" t="n">
        <v>8</v>
      </c>
      <c r="K9" s="2" t="n">
        <v>6</v>
      </c>
      <c r="L9" s="2" t="n">
        <v>8</v>
      </c>
      <c r="M9" s="2" t="n">
        <v>4</v>
      </c>
      <c r="N9" s="2" t="n">
        <v>5</v>
      </c>
      <c r="O9" s="3">
        <f>AVERAGE(H9:N9)</f>
        <v/>
      </c>
      <c r="P9" s="2" t="inlineStr">
        <is>
          <t>Paradox #3 - Act V - Slide 19</t>
        </is>
      </c>
    </row>
    <row r="10" ht="60" customHeight="1">
      <c r="A10" s="2" t="inlineStr">
        <is>
          <t>R09</t>
        </is>
      </c>
      <c r="B10" s="2" t="inlineStr">
        <is>
          <t>Complexity / Management</t>
        </is>
      </c>
      <c r="C10" s="2" t="inlineStr">
        <is>
          <t>'Diversity trumps ability': in a broad class of hard problems, cognitively diverse groups of good-enough problem solvers can outperform groups of the individually highest-scoring solvers.</t>
        </is>
      </c>
      <c r="D10" s="2" t="inlineStr">
        <is>
          <t>Hong, L. &amp; Page, S.E.</t>
        </is>
      </c>
      <c r="E10" s="2" t="inlineStr">
        <is>
          <t>2004 / 2007 (book 'The Difference')</t>
        </is>
      </c>
      <c r="F10" s="2" t="inlineStr">
        <is>
          <t>https://sites.lsa.umich.edu/scottepage/research-2/diversity-research/</t>
        </is>
      </c>
      <c r="G10" s="2" t="inlineStr">
        <is>
          <t>PNAS paper plus popular synthesis in 'The Difference'; the original mathematical result has been formally disputed by some mathematicians - present as contested, not settled.</t>
        </is>
      </c>
      <c r="H10" s="2" t="n">
        <v>8</v>
      </c>
      <c r="I10" s="2" t="n">
        <v>6</v>
      </c>
      <c r="J10" s="2" t="n">
        <v>8</v>
      </c>
      <c r="K10" s="2" t="n">
        <v>7</v>
      </c>
      <c r="L10" s="2" t="n">
        <v>6</v>
      </c>
      <c r="M10" s="2" t="n">
        <v>5</v>
      </c>
      <c r="N10" s="2" t="n">
        <v>4</v>
      </c>
      <c r="O10" s="3">
        <f>AVERAGE(H10:N10)</f>
        <v/>
      </c>
      <c r="P10" s="2" t="inlineStr">
        <is>
          <t>Act V background - diversity thread (flag as contested)</t>
        </is>
      </c>
    </row>
    <row r="11" ht="60" customHeight="1">
      <c r="A11" s="2" t="inlineStr">
        <is>
          <t>R10</t>
        </is>
      </c>
      <c r="B11" s="2" t="inlineStr">
        <is>
          <t>Complexity / Sociology</t>
        </is>
      </c>
      <c r="C11" s="2" t="inlineStr">
        <is>
          <t>Twelve leverage points: places to intervene in a system range from low-leverage parameters (numbers, subsidies) to high-leverage structural elements (information flows, rules, goals, paradigms).</t>
        </is>
      </c>
      <c r="D11" s="2" t="inlineStr">
        <is>
          <t>Meadows, D.H.</t>
        </is>
      </c>
      <c r="E11" s="2" t="inlineStr">
        <is>
          <t>1997 / 1999</t>
        </is>
      </c>
      <c r="F11" s="2" t="inlineStr">
        <is>
          <t>https://donellameadows.org/archives/leverage-points-places-to-intervene-in-a-system/</t>
        </is>
      </c>
      <c r="G11" s="2" t="inlineStr">
        <is>
          <t>Foundational systems-thinking essay, widely taught and cited across sustainability, policy and organizational design.</t>
        </is>
      </c>
      <c r="H11" s="2" t="n">
        <v>9</v>
      </c>
      <c r="I11" s="2" t="n">
        <v>7</v>
      </c>
      <c r="J11" s="2" t="n">
        <v>9</v>
      </c>
      <c r="K11" s="2" t="n">
        <v>6</v>
      </c>
      <c r="L11" s="2" t="n">
        <v>4</v>
      </c>
      <c r="M11" s="2" t="n">
        <v>3</v>
      </c>
      <c r="N11" s="2" t="n">
        <v>3</v>
      </c>
      <c r="O11" s="3">
        <f>AVERAGE(H11:N11)</f>
        <v/>
      </c>
      <c r="P11" s="2" t="inlineStr">
        <is>
          <t>Backbone concept - Act VI / VIII (not a standalone slide)</t>
        </is>
      </c>
    </row>
    <row r="12" ht="60" customHeight="1">
      <c r="A12" s="2" t="inlineStr">
        <is>
          <t>R11</t>
        </is>
      </c>
      <c r="B12" s="2" t="inlineStr">
        <is>
          <t>Complexity / Management</t>
        </is>
      </c>
      <c r="C12" s="2" t="inlineStr">
        <is>
          <t>Cynefin framework: a sense-making model distinguishing obvious, complicated, complex and chaotic decision domains, each requiring a different way of acting (best practice, expert analysis, experimentation, or immediate stabilizing action).</t>
        </is>
      </c>
      <c r="D12" s="2" t="inlineStr">
        <is>
          <t>Snowden, D.</t>
        </is>
      </c>
      <c r="E12" s="2" t="inlineStr">
        <is>
          <t>1999</t>
        </is>
      </c>
      <c r="F12" s="2" t="inlineStr">
        <is>
          <t>https://thecynefin.co/about-us/about-cynefin-framework/</t>
        </is>
      </c>
      <c r="G12" s="2" t="inlineStr">
        <is>
          <t>Widely used in complexity-informed management practice; grounded in complex-adaptive-systems theory rather than empirical trial data.</t>
        </is>
      </c>
      <c r="H12" s="2" t="n">
        <v>8</v>
      </c>
      <c r="I12" s="2" t="n">
        <v>6</v>
      </c>
      <c r="J12" s="2" t="n">
        <v>9</v>
      </c>
      <c r="K12" s="2" t="n">
        <v>7</v>
      </c>
      <c r="L12" s="2" t="n">
        <v>4</v>
      </c>
      <c r="M12" s="2" t="n">
        <v>3</v>
      </c>
      <c r="N12" s="2" t="n">
        <v>2</v>
      </c>
      <c r="O12" s="3">
        <f>AVERAGE(H12:N12)</f>
        <v/>
      </c>
      <c r="P12" s="2" t="inlineStr">
        <is>
          <t>Backbone concept - Act II / VI (not a standalone slide)</t>
        </is>
      </c>
    </row>
    <row r="13" ht="60" customHeight="1">
      <c r="A13" s="2" t="inlineStr">
        <is>
          <t>R12</t>
        </is>
      </c>
      <c r="B13" s="2" t="inlineStr">
        <is>
          <t>Complexity / Philosophy</t>
        </is>
      </c>
      <c r="C13" s="2" t="inlineStr">
        <is>
          <t>Antifragility: a category of systems that don't just withstand disorder (robustness) or return to form (resilience) but improve because of exposure to volatility and stress.</t>
        </is>
      </c>
      <c r="D13" s="2" t="inlineStr">
        <is>
          <t>Taleb, N.N.</t>
        </is>
      </c>
      <c r="E13" s="2" t="inlineStr">
        <is>
          <t>2012 (book 'Antifragile')</t>
        </is>
      </c>
      <c r="F13" s="2" t="inlineStr">
        <is>
          <t>https://www.amazon.com/Antifragile-Things-That-Disorder-Incerto/dp/0812979680</t>
        </is>
      </c>
      <c r="G13" s="2" t="inlineStr">
        <is>
          <t>Conceptual / essayistic framework rather than an empirical study; widely influential in risk, strategy and systems-thinking circles.</t>
        </is>
      </c>
      <c r="H13" s="2" t="n">
        <v>8</v>
      </c>
      <c r="I13" s="2" t="n">
        <v>5</v>
      </c>
      <c r="J13" s="2" t="n">
        <v>8</v>
      </c>
      <c r="K13" s="2" t="n">
        <v>7</v>
      </c>
      <c r="L13" s="2" t="n">
        <v>5</v>
      </c>
      <c r="M13" s="2" t="n">
        <v>5</v>
      </c>
      <c r="N13" s="2" t="n">
        <v>4</v>
      </c>
      <c r="O13" s="3">
        <f>AVERAGE(H13:N13)</f>
        <v/>
      </c>
      <c r="P13" s="2" t="inlineStr">
        <is>
          <t>Act VII - resilience vs. adaptability contrast</t>
        </is>
      </c>
    </row>
    <row r="14" ht="60" customHeight="1">
      <c r="A14" s="2" t="inlineStr">
        <is>
          <t>R13</t>
        </is>
      </c>
      <c r="B14" s="2" t="inlineStr">
        <is>
          <t>Management / Innovation</t>
        </is>
      </c>
      <c r="C14" s="2" t="inlineStr">
        <is>
          <t>Kodak's own engineer built the first working digital camera in 1975; management's recorded reaction was dismissive ('cute - but don't tell anyone about it'). The company filed for bankruptcy in 2012.</t>
        </is>
      </c>
      <c r="D14" s="2" t="inlineStr">
        <is>
          <t>Sasson, S. (inventor); reporting via WEF, NYT, IPWatchdog</t>
        </is>
      </c>
      <c r="E14" s="2" t="inlineStr">
        <is>
          <t>1975 / 2012</t>
        </is>
      </c>
      <c r="F14" s="2" t="inlineStr">
        <is>
          <t>https://www.weforum.org/stories/2016/06/leading-innovation-through-the-chicanes/</t>
        </is>
      </c>
      <c r="G14" s="2" t="inlineStr">
        <is>
          <t>Corroborated across multiple business-press retrospectives and Sasson's own public interviews; a canonical case in innovation and incentive-design research.</t>
        </is>
      </c>
      <c r="H14" s="2" t="n">
        <v>9</v>
      </c>
      <c r="I14" s="2" t="n">
        <v>8</v>
      </c>
      <c r="J14" s="2" t="n">
        <v>10</v>
      </c>
      <c r="K14" s="2" t="n">
        <v>6</v>
      </c>
      <c r="L14" s="2" t="n">
        <v>7</v>
      </c>
      <c r="M14" s="2" t="n">
        <v>6</v>
      </c>
      <c r="N14" s="2" t="n">
        <v>5</v>
      </c>
      <c r="O14" s="3">
        <f>AVERAGE(H14:N14)</f>
        <v/>
      </c>
      <c r="P14" s="2" t="inlineStr">
        <is>
          <t>WOW #4 - Act VI - Slide 22</t>
        </is>
      </c>
    </row>
    <row r="15" ht="60" customHeight="1">
      <c r="A15" s="2" t="inlineStr">
        <is>
          <t>R14</t>
        </is>
      </c>
      <c r="B15" s="2" t="inlineStr">
        <is>
          <t>Management</t>
        </is>
      </c>
      <c r="C15" s="2" t="inlineStr">
        <is>
          <t>Netflix reinvented its own operating model repeatedly and ahead of being forced to - DVD-by-mail to streaming (2007), then originals, then ad-supported tiers and gaming - while Blockbuster, which didn't adapt in time, filed for bankruptcy in 2010.</t>
        </is>
      </c>
      <c r="D15" s="2" t="inlineStr">
        <is>
          <t>Multiple business-press case studies</t>
        </is>
      </c>
      <c r="E15" s="2" t="inlineStr">
        <is>
          <t>1997-2023</t>
        </is>
      </c>
      <c r="F15" s="2" t="inlineStr">
        <is>
          <t>https://www.chiefreinventionofficer.com/blog-page/ditched-dvds-for-global-domination-the-ultimate-netflix-case-study-on-strategic-reinvention</t>
        </is>
      </c>
      <c r="G15" s="2" t="inlineStr">
        <is>
          <t>Corporate history corroborated across many independent business-press accounts; DVD service formally closed Sept. 2023.</t>
        </is>
      </c>
      <c r="H15" s="2" t="n">
        <v>7</v>
      </c>
      <c r="I15" s="2" t="n">
        <v>7</v>
      </c>
      <c r="J15" s="2" t="n">
        <v>9</v>
      </c>
      <c r="K15" s="2" t="n">
        <v>5</v>
      </c>
      <c r="L15" s="2" t="n">
        <v>6</v>
      </c>
      <c r="M15" s="2" t="n">
        <v>4</v>
      </c>
      <c r="N15" s="2" t="n">
        <v>4</v>
      </c>
      <c r="O15" s="3">
        <f>AVERAGE(H15:N15)</f>
        <v/>
      </c>
      <c r="P15" s="2" t="inlineStr">
        <is>
          <t>Act VI - Slide 23</t>
        </is>
      </c>
    </row>
    <row r="16" ht="60" customHeight="1">
      <c r="A16" s="2" t="inlineStr">
        <is>
          <t>R15</t>
        </is>
      </c>
      <c r="B16" s="2" t="inlineStr">
        <is>
          <t>History / Leadership</t>
        </is>
      </c>
      <c r="C16" s="2" t="inlineStr">
        <is>
          <t>Imperial Trans-Antarctic Expedition (1914-17): the ship Endurance was crushed by pack ice, ending the original goal (crossing Antarctica) entirely. Shackleton redefined success as bringing all 28 men home alive - and succeeded, including an 800-mile open-boat voyage and an unmapped mountain crossing.</t>
        </is>
      </c>
      <c r="D16" s="2" t="inlineStr">
        <is>
          <t>Lansing, A. (historical account); History.com; Endurance22.org</t>
        </is>
      </c>
      <c r="E16" s="2" t="inlineStr">
        <is>
          <t>1914-1917</t>
        </is>
      </c>
      <c r="F16" s="2" t="inlineStr">
        <is>
          <t>https://www.history.com/articles/shackleton-endurance-survival</t>
        </is>
      </c>
      <c r="G16" s="2" t="inlineStr">
        <is>
          <t>Extensively documented historical expedition; ship's log, crew diaries and Frank Hurley's photographs survive; treat dramatic framing as narrative synthesis, dates/facts as FACT.</t>
        </is>
      </c>
      <c r="H16" s="2" t="n">
        <v>9</v>
      </c>
      <c r="I16" s="2" t="n">
        <v>9</v>
      </c>
      <c r="J16" s="2" t="n">
        <v>8</v>
      </c>
      <c r="K16" s="2" t="n">
        <v>7</v>
      </c>
      <c r="L16" s="2" t="n">
        <v>10</v>
      </c>
      <c r="M16" s="2" t="n">
        <v>9</v>
      </c>
      <c r="N16" s="2" t="n">
        <v>10</v>
      </c>
      <c r="O16" s="3">
        <f>AVERAGE(H16:N16)</f>
        <v/>
      </c>
      <c r="P16" s="2" t="inlineStr">
        <is>
          <t>THREAD STORY - Slides 1-3, 28-30</t>
        </is>
      </c>
    </row>
    <row r="17" ht="60" customHeight="1">
      <c r="A17" s="2" t="inlineStr">
        <is>
          <t>R16</t>
        </is>
      </c>
      <c r="B17" s="2" t="inlineStr">
        <is>
          <t>Human / Team Story</t>
        </is>
      </c>
      <c r="C17" s="2" t="inlineStr">
        <is>
          <t>2010 San Jose mine collapse, Chile: 33 miners trapped ~700m underground for 69 days. Self-organized roles, rationing and routine below ground; distributed problem-solving with engineers and family above ground.</t>
        </is>
      </c>
      <c r="D17" s="2" t="inlineStr">
        <is>
          <t>Multiple accounts; Britannica; CNN 'Fast Facts'</t>
        </is>
      </c>
      <c r="E17" s="2" t="inlineStr">
        <is>
          <t>2010</t>
        </is>
      </c>
      <c r="F17" s="2" t="inlineStr">
        <is>
          <t>https://www.britannica.com/event/Chile-mine-rescue-of-2010</t>
        </is>
      </c>
      <c r="G17" s="2" t="inlineStr">
        <is>
          <t>Extensively documented, internationally covered rescue; strong real-world example of team-level adaptability under total uncertainty.</t>
        </is>
      </c>
      <c r="H17" s="2" t="n">
        <v>7</v>
      </c>
      <c r="I17" s="2" t="n">
        <v>9</v>
      </c>
      <c r="J17" s="2" t="n">
        <v>6</v>
      </c>
      <c r="K17" s="2" t="n">
        <v>7</v>
      </c>
      <c r="L17" s="2" t="n">
        <v>9</v>
      </c>
      <c r="M17" s="2" t="n">
        <v>7</v>
      </c>
      <c r="N17" s="2" t="n">
        <v>9</v>
      </c>
      <c r="O17" s="3">
        <f>AVERAGE(H17:N17)</f>
        <v/>
      </c>
      <c r="P17" s="2" t="inlineStr">
        <is>
          <t>Act V team story - Slide 20</t>
        </is>
      </c>
    </row>
    <row r="18" ht="60" customHeight="1">
      <c r="A18" s="2" t="inlineStr">
        <is>
          <t>R17</t>
        </is>
      </c>
      <c r="B18" s="2" t="inlineStr">
        <is>
          <t>Human / Person Story</t>
        </is>
      </c>
      <c r="C18" s="2" t="inlineStr">
        <is>
          <t>Ali Mahlodji: school dropout with a refugee family background who rebuilt his identity and career path repeatedly, eventually founding a career-guidance company (whatchado).</t>
        </is>
      </c>
      <c r="D18" s="2" t="inlineStr">
        <is>
          <t>SAP BrandVoice / Forbes profile</t>
        </is>
      </c>
      <c r="E18" s="2" t="inlineStr">
        <is>
          <t>2018</t>
        </is>
      </c>
      <c r="F18" s="2" t="inlineStr">
        <is>
          <t>https://www.forbes.com/sites/sap/2018/08/20/refugee-turned-entrepreneur-we-are-all-geniuses-on-the-day-we-are-born/</t>
        </is>
      </c>
      <c r="G18" s="2" t="inlineStr">
        <is>
          <t>Single third-party profile; corroborate further before using verbatim quotes in a final script - treat quoted lines as reported speech, not verified transcript.</t>
        </is>
      </c>
      <c r="H18" s="2" t="n">
        <v>6</v>
      </c>
      <c r="I18" s="2" t="n">
        <v>7</v>
      </c>
      <c r="J18" s="2" t="n">
        <v>6</v>
      </c>
      <c r="K18" s="2" t="n">
        <v>6</v>
      </c>
      <c r="L18" s="2" t="n">
        <v>8</v>
      </c>
      <c r="M18" s="2" t="n">
        <v>5</v>
      </c>
      <c r="N18" s="2" t="n">
        <v>9</v>
      </c>
      <c r="O18" s="3">
        <f>AVERAGE(H18:N18)</f>
        <v/>
      </c>
      <c r="P18" s="2" t="inlineStr">
        <is>
          <t>Act IV person story - Slide 15</t>
        </is>
      </c>
    </row>
    <row r="19" ht="60" customHeight="1">
      <c r="A19" s="2" t="inlineStr">
        <is>
          <t>R18</t>
        </is>
      </c>
      <c r="B19" s="2" t="inlineStr">
        <is>
          <t>Complexity</t>
        </is>
      </c>
      <c r="C19" s="2" t="inlineStr">
        <is>
          <t>Complex adaptive systems: systems (economies, ecosystems, organizations, immune systems) made of interacting agents that adapt based on local rules, producing system-level behavior no single agent designed.</t>
        </is>
      </c>
      <c r="D19" s="2" t="inlineStr">
        <is>
          <t>Holland, J.H.</t>
        </is>
      </c>
      <c r="E19" s="2" t="inlineStr">
        <is>
          <t>1990s (foundational)</t>
        </is>
      </c>
      <c r="F19" s="2" t="inlineStr">
        <is>
          <t>https://en.wikipedia.org/wiki/Complex_adaptive_system</t>
        </is>
      </c>
      <c r="G19" s="2" t="inlineStr">
        <is>
          <t>Foundational complexity-science concept underlying most of the keynote's nature section; textbook-level consensus.</t>
        </is>
      </c>
      <c r="H19" s="2" t="n">
        <v>8</v>
      </c>
      <c r="I19" s="2" t="n">
        <v>7</v>
      </c>
      <c r="J19" s="2" t="n">
        <v>8</v>
      </c>
      <c r="K19" s="2" t="n">
        <v>5</v>
      </c>
      <c r="L19" s="2" t="n">
        <v>3</v>
      </c>
      <c r="M19" s="2" t="n">
        <v>3</v>
      </c>
      <c r="N19" s="2" t="n">
        <v>2</v>
      </c>
      <c r="O19" s="3">
        <f>AVERAGE(H19:N19)</f>
        <v/>
      </c>
      <c r="P19" s="2" t="inlineStr">
        <is>
          <t>Backbone concept - Act II / III / VI</t>
        </is>
      </c>
    </row>
    <row r="20" ht="60" customHeight="1">
      <c r="A20" s="2" t="inlineStr">
        <is>
          <t>R19</t>
        </is>
      </c>
      <c r="B20" s="2" t="inlineStr">
        <is>
          <t>Management</t>
        </is>
      </c>
      <c r="C20" s="2" t="inlineStr">
        <is>
          <t>Dynamic capabilities: an organization's ability to integrate, build and reconfigure internal and external competences to address rapidly changing environments.</t>
        </is>
      </c>
      <c r="D20" s="2" t="inlineStr">
        <is>
          <t>Teece, D.J., Pisano, G., Shuen, A.</t>
        </is>
      </c>
      <c r="E20" s="2" t="inlineStr">
        <is>
          <t>1997</t>
        </is>
      </c>
      <c r="F20" s="2" t="inlineStr">
        <is>
          <t>https://en.wikipedia.org/wiki/Dynamic_capabilities</t>
        </is>
      </c>
      <c r="G20" s="2" t="inlineStr">
        <is>
          <t>Foundational Strategic Management Journal article; one of the most-cited frameworks in strategy research.</t>
        </is>
      </c>
      <c r="H20" s="2" t="n">
        <v>7</v>
      </c>
      <c r="I20" s="2" t="n">
        <v>7</v>
      </c>
      <c r="J20" s="2" t="n">
        <v>9</v>
      </c>
      <c r="K20" s="2" t="n">
        <v>5</v>
      </c>
      <c r="L20" s="2" t="n">
        <v>3</v>
      </c>
      <c r="M20" s="2" t="n">
        <v>2</v>
      </c>
      <c r="N20" s="2" t="n">
        <v>2</v>
      </c>
      <c r="O20" s="3">
        <f>AVERAGE(H20:N20)</f>
        <v/>
      </c>
      <c r="P20" s="2" t="inlineStr">
        <is>
          <t>Backbone concept - Act VI / VIII</t>
        </is>
      </c>
    </row>
    <row r="21" ht="60" customHeight="1">
      <c r="A21" s="2" t="inlineStr">
        <is>
          <t>R20</t>
        </is>
      </c>
      <c r="B21" s="2" t="inlineStr">
        <is>
          <t>Psychology / Management</t>
        </is>
      </c>
      <c r="C21" s="2" t="inlineStr">
        <is>
          <t>Sensemaking: organizations and people construct meaning retrospectively, through action, rather than perceiving a pre-existing reality and then planning - especially visible under crisis and ambiguity.</t>
        </is>
      </c>
      <c r="D21" s="2" t="inlineStr">
        <is>
          <t>Weick, K.E.</t>
        </is>
      </c>
      <c r="E21" s="2" t="inlineStr">
        <is>
          <t>1995 (foundational synthesis)</t>
        </is>
      </c>
      <c r="F21" s="2" t="inlineStr">
        <is>
          <t>https://en.wikipedia.org/wiki/Karl_E._Weick</t>
        </is>
      </c>
      <c r="G21" s="2" t="inlineStr">
        <is>
          <t>Foundational organizational-psychology concept; grounded in multiple field studies including crisis case analyses (e.g., wildfire disasters).</t>
        </is>
      </c>
      <c r="H21" s="2" t="n">
        <v>8</v>
      </c>
      <c r="I21" s="2" t="n">
        <v>6</v>
      </c>
      <c r="J21" s="2" t="n">
        <v>7</v>
      </c>
      <c r="K21" s="2" t="n">
        <v>6</v>
      </c>
      <c r="L21" s="2" t="n">
        <v>5</v>
      </c>
      <c r="M21" s="2" t="n">
        <v>3</v>
      </c>
      <c r="N21" s="2" t="n">
        <v>4</v>
      </c>
      <c r="O21" s="3">
        <f>AVERAGE(H21:N21)</f>
        <v/>
      </c>
      <c r="P21" s="2" t="inlineStr">
        <is>
          <t>Backbone concept - Act IV / VI</t>
        </is>
      </c>
    </row>
    <row r="22" ht="60" customHeight="1">
      <c r="A22" s="2" t="inlineStr">
        <is>
          <t>R21</t>
        </is>
      </c>
      <c r="B22" s="2" t="inlineStr">
        <is>
          <t>Management / Systems</t>
        </is>
      </c>
      <c r="C22" s="2" t="inlineStr">
        <is>
          <t>Applying living-systems principles (self-organization, emergence, relationships over control) to organizational design and leadership.</t>
        </is>
      </c>
      <c r="D22" s="2" t="inlineStr">
        <is>
          <t>Wheatley, M.J.</t>
        </is>
      </c>
      <c r="E22" s="2" t="inlineStr">
        <is>
          <t>1992 (book 'Leadership and the New Science')</t>
        </is>
      </c>
      <c r="F22" s="2" t="inlineStr">
        <is>
          <t>https://en.wikipedia.org/wiki/Margaret_J._Wheatley</t>
        </is>
      </c>
      <c r="G22" s="2" t="inlineStr">
        <is>
          <t>Influential management text bridging complexity science and organizational leadership; conceptual/essayistic rather than a controlled study.</t>
        </is>
      </c>
      <c r="H22" s="2" t="n">
        <v>7</v>
      </c>
      <c r="I22" s="2" t="n">
        <v>5</v>
      </c>
      <c r="J22" s="2" t="n">
        <v>8</v>
      </c>
      <c r="K22" s="2" t="n">
        <v>6</v>
      </c>
      <c r="L22" s="2" t="n">
        <v>4</v>
      </c>
      <c r="M22" s="2" t="n">
        <v>4</v>
      </c>
      <c r="N22" s="2" t="n">
        <v>4</v>
      </c>
      <c r="O22" s="3">
        <f>AVERAGE(H22:N22)</f>
        <v/>
      </c>
      <c r="P22" s="2" t="inlineStr">
        <is>
          <t>Backbone concept - Act VI</t>
        </is>
      </c>
    </row>
    <row r="23" ht="60" customHeight="1">
      <c r="A23" s="2" t="inlineStr">
        <is>
          <t>R22</t>
        </is>
      </c>
      <c r="B23" s="2" t="inlineStr">
        <is>
          <t>Sociology / Network Science</t>
        </is>
      </c>
      <c r="C23" s="2" t="inlineStr">
        <is>
          <t>Small-world networks and cascades: how information, behavior and failure propagate through social and organizational networks depends more on network structure than on individual influence.</t>
        </is>
      </c>
      <c r="D23" s="2" t="inlineStr">
        <is>
          <t>Watts, D.J.</t>
        </is>
      </c>
      <c r="E23" s="2" t="inlineStr">
        <is>
          <t>1998-2000s</t>
        </is>
      </c>
      <c r="F23" s="2" t="inlineStr">
        <is>
          <t>https://en.wikipedia.org/wiki/Duncan_J._Watts</t>
        </is>
      </c>
      <c r="G23" s="2" t="inlineStr">
        <is>
          <t>Foundational network-science research (with Steven Strogatz on small-world networks); widely applied to organizational information flow.</t>
        </is>
      </c>
      <c r="H23" s="2" t="n">
        <v>7</v>
      </c>
      <c r="I23" s="2" t="n">
        <v>7</v>
      </c>
      <c r="J23" s="2" t="n">
        <v>7</v>
      </c>
      <c r="K23" s="2" t="n">
        <v>6</v>
      </c>
      <c r="L23" s="2" t="n">
        <v>4</v>
      </c>
      <c r="M23" s="2" t="n">
        <v>4</v>
      </c>
      <c r="N23" s="2" t="n">
        <v>3</v>
      </c>
      <c r="O23" s="3">
        <f>AVERAGE(H23:N23)</f>
        <v/>
      </c>
      <c r="P23" s="2" t="inlineStr">
        <is>
          <t>Backbone concept - Act V / VI (information-speed framing)</t>
        </is>
      </c>
    </row>
    <row r="24" ht="60" customHeight="1">
      <c r="A24" s="2" t="inlineStr">
        <is>
          <t>R23</t>
        </is>
      </c>
      <c r="B24" s="2" t="inlineStr">
        <is>
          <t>Sociology</t>
        </is>
      </c>
      <c r="C24" s="2" t="inlineStr">
        <is>
          <t>Wisdom of crowds: under the right conditions (diversity, independence, decentralization, aggregation), the aggregated judgment of a crowd can outperform individual experts - but the same crowd can also fail badly (bubbles, panics) when those conditions break down.</t>
        </is>
      </c>
      <c r="D24" s="2" t="inlineStr">
        <is>
          <t>Surowiecki, J.</t>
        </is>
      </c>
      <c r="E24" s="2" t="inlineStr">
        <is>
          <t>2004 (book)</t>
        </is>
      </c>
      <c r="F24" s="2" t="inlineStr">
        <is>
          <t>https://en.wikipedia.org/wiki/The_Wisdom_of_Crowds</t>
        </is>
      </c>
      <c r="G24" s="2" t="inlineStr">
        <is>
          <t>Popular synthesis of decision-science and behavioral-economics research; useful as counterpoint alongside groupthink.</t>
        </is>
      </c>
      <c r="H24" s="2" t="n">
        <v>6</v>
      </c>
      <c r="I24" s="2" t="n">
        <v>6</v>
      </c>
      <c r="J24" s="2" t="n">
        <v>7</v>
      </c>
      <c r="K24" s="2" t="n">
        <v>4</v>
      </c>
      <c r="L24" s="2" t="n">
        <v>5</v>
      </c>
      <c r="M24" s="2" t="n">
        <v>3</v>
      </c>
      <c r="N24" s="2" t="n">
        <v>3</v>
      </c>
      <c r="O24" s="3">
        <f>AVERAGE(H24:N24)</f>
        <v/>
      </c>
      <c r="P24" s="2" t="inlineStr">
        <is>
          <t>Act V background - contrast with groupthink</t>
        </is>
      </c>
    </row>
    <row r="25" ht="60" customHeight="1">
      <c r="A25" s="2" t="inlineStr">
        <is>
          <t>R24</t>
        </is>
      </c>
      <c r="B25" s="2" t="inlineStr">
        <is>
          <t>Psychology / Management</t>
        </is>
      </c>
      <c r="C25" s="2" t="inlineStr">
        <is>
          <t>Learning agility: the ability and willingness to learn from experience and apply that learning to perform successfully in new or first-time situations - correlates with long-run leadership potential.</t>
        </is>
      </c>
      <c r="D25" s="2" t="inlineStr">
        <is>
          <t>Center for Creative Leadership research synthesis</t>
        </is>
      </c>
      <c r="E25" s="2" t="inlineStr">
        <is>
          <t>Ongoing (CCL research program)</t>
        </is>
      </c>
      <c r="F25" s="2" t="inlineStr">
        <is>
          <t>https://www.ccl.org/articles/leading-effectively-articles/learning-agility-what-it-takes-to-be-agile-in-todays-world/</t>
        </is>
      </c>
      <c r="G25" s="2" t="inlineStr">
        <is>
          <t>Applied leadership-development research; broad practitioner adoption, treat effect sizes as INTERPRETATION pending a specific primary study.</t>
        </is>
      </c>
      <c r="H25" s="2" t="n">
        <v>6</v>
      </c>
      <c r="I25" s="2" t="n">
        <v>6</v>
      </c>
      <c r="J25" s="2" t="n">
        <v>8</v>
      </c>
      <c r="K25" s="2" t="n">
        <v>5</v>
      </c>
      <c r="L25" s="2" t="n">
        <v>4</v>
      </c>
      <c r="M25" s="2" t="n">
        <v>3</v>
      </c>
      <c r="N25" s="2" t="n">
        <v>4</v>
      </c>
      <c r="O25" s="3">
        <f>AVERAGE(H25:N25)</f>
        <v/>
      </c>
      <c r="P25" s="2" t="inlineStr">
        <is>
          <t>Backbone concept - Act IV</t>
        </is>
      </c>
    </row>
    <row r="26" ht="60" customHeight="1">
      <c r="A26" s="2" t="inlineStr">
        <is>
          <t>R25</t>
        </is>
      </c>
      <c r="B26" s="2" t="inlineStr">
        <is>
          <t>Psychology</t>
        </is>
      </c>
      <c r="C26" s="2" t="inlineStr">
        <is>
          <t>Psychological flexibility: the capacity to stay in contact with the present moment and change or persist in behavior in the service of chosen values, rather than being rigidly driven by internal reactions - core construct of Acceptance and Commitment Therapy (ACT).</t>
        </is>
      </c>
      <c r="D26" s="2" t="inlineStr">
        <is>
          <t>Hayes, S.C. et al.</t>
        </is>
      </c>
      <c r="E26" s="2" t="inlineStr">
        <is>
          <t>1999-ongoing</t>
        </is>
      </c>
      <c r="F26" s="2" t="inlineStr">
        <is>
          <t>https://en.wikipedia.org/wiki/Acceptance_and_commitment_therapy</t>
        </is>
      </c>
      <c r="G26" s="2" t="inlineStr">
        <is>
          <t>Extensive clinical and organizational-psychology literature; strong empirical base in clinical settings, growing base in workplace settings.</t>
        </is>
      </c>
      <c r="H26" s="2" t="n">
        <v>7</v>
      </c>
      <c r="I26" s="2" t="n">
        <v>8</v>
      </c>
      <c r="J26" s="2" t="n">
        <v>6</v>
      </c>
      <c r="K26" s="2" t="n">
        <v>6</v>
      </c>
      <c r="L26" s="2" t="n">
        <v>4</v>
      </c>
      <c r="M26" s="2" t="n">
        <v>3</v>
      </c>
      <c r="N26" s="2" t="n">
        <v>5</v>
      </c>
      <c r="O26" s="3">
        <f>AVERAGE(H26:N26)</f>
        <v/>
      </c>
      <c r="P26" s="2" t="inlineStr">
        <is>
          <t>Backbone concept - Act 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4" t="inlineStr">
        <is>
          <t>Dimension</t>
        </is>
      </c>
      <c r="B1" s="4" t="inlineStr">
        <is>
          <t>Question it answers</t>
        </is>
      </c>
    </row>
    <row r="2">
      <c r="A2" s="5" t="inlineStr">
        <is>
          <t>Intellectual Power</t>
        </is>
      </c>
      <c r="B2" s="5" t="inlineStr">
        <is>
          <t>Does it change the way someone thinks?</t>
        </is>
      </c>
    </row>
    <row r="3">
      <c r="A3" s="5" t="inlineStr">
        <is>
          <t>Evidence</t>
        </is>
      </c>
      <c r="B3" s="5" t="inlineStr">
        <is>
          <t>Is it backed by real research or documented fact?</t>
        </is>
      </c>
    </row>
    <row r="4">
      <c r="A4" s="5" t="inlineStr">
        <is>
          <t>Corporate Relevance</t>
        </is>
      </c>
      <c r="B4" s="5" t="inlineStr">
        <is>
          <t>Does it have real organizational application?</t>
        </is>
      </c>
    </row>
    <row r="5">
      <c r="A5" s="5" t="inlineStr">
        <is>
          <t>Originality</t>
        </is>
      </c>
      <c r="B5" s="5" t="inlineStr">
        <is>
          <t>Is it less obvious than the usual cliches?</t>
        </is>
      </c>
    </row>
    <row r="6">
      <c r="A6" s="5" t="inlineStr">
        <is>
          <t>Story Potential</t>
        </is>
      </c>
      <c r="B6" s="5" t="inlineStr">
        <is>
          <t>Can it become a story?</t>
        </is>
      </c>
    </row>
    <row r="7">
      <c r="A7" s="5" t="inlineStr">
        <is>
          <t>Visual Potential</t>
        </is>
      </c>
      <c r="B7" s="5" t="inlineStr">
        <is>
          <t>Can it become a powerful single image?</t>
        </is>
      </c>
    </row>
    <row r="8">
      <c r="A8" s="5" t="inlineStr">
        <is>
          <t>Emotional Potential</t>
        </is>
      </c>
      <c r="B8" s="5" t="inlineStr">
        <is>
          <t>Can it make someone feel something?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2026-09-01T19:05:24Z</dcterms:created>
  <dcterms:modified xsi:type="dcterms:W3CDTF">2026-09-01T19:05:24Z</dcterms:modified>
</cp:coreProperties>
</file>